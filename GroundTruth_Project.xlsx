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" sheetId="1" state="visible" r:id="rId3"/>
    <sheet name="Execution Plan" sheetId="2" state="visible" r:id="rId4"/>
    <sheet name="Architecture" sheetId="3" state="visible" r:id="rId5"/>
    <sheet name="Judging Scorecard" sheetId="4" state="visible" r:id="rId6"/>
    <sheet name="Prize Analysis" sheetId="5" state="visible" r:id="rId7"/>
    <sheet name="Submission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<sst xmlns="http://schemas.openxmlformats.org/spreadsheetml/2006/main" count="384" uniqueCount="263">
  <si>
    <t xml:space="preserve">GROUNDTRUTH — Zero-Hallucination Enterprise Knowledge Agent</t>
  </si>
  <si>
    <t xml:space="preserve">Field</t>
  </si>
  <si>
    <t xml:space="preserve">Details</t>
  </si>
  <si>
    <t xml:space="preserve">Project Name</t>
  </si>
  <si>
    <t xml:space="preserve">GroundTruth</t>
  </si>
  <si>
    <t xml:space="preserve">Tagline</t>
  </si>
  <si>
    <t xml:space="preserve">Zero-Hallucination Enterprise Knowledge Agent</t>
  </si>
  <si>
    <t xml:space="preserve">Hackathon</t>
  </si>
  <si>
    <t xml:space="preserve">Gemini Live Agent Challenge 2026</t>
  </si>
  <si>
    <t xml:space="preserve">Category</t>
  </si>
  <si>
    <t xml:space="preserve">Live Agents</t>
  </si>
  <si>
    <t xml:space="preserve">Prize Target</t>
  </si>
  <si>
    <t xml:space="preserve">Grand Prize ($25,000) + Best Live Agents ($10,000)</t>
  </si>
  <si>
    <t xml:space="preserve">Deadline</t>
  </si>
  <si>
    <t xml:space="preserve">March 16, 2026 — 5:00 PM PDT</t>
  </si>
  <si>
    <t xml:space="preserve">Team Size</t>
  </si>
  <si>
    <t xml:space="preserve">Solo</t>
  </si>
  <si>
    <t xml:space="preserve">Status</t>
  </si>
  <si>
    <t xml:space="preserve">In Development</t>
  </si>
  <si>
    <t xml:space="preserve">TECH STACK</t>
  </si>
  <si>
    <t xml:space="preserve">AI Model</t>
  </si>
  <si>
    <t xml:space="preserve">Gemini 2.5 Flash (Native Audio) — Live API</t>
  </si>
  <si>
    <t xml:space="preserve">SDK</t>
  </si>
  <si>
    <t xml:space="preserve">Google GenAI SDK (google-genai v1.14+)</t>
  </si>
  <si>
    <t xml:space="preserve">Backend</t>
  </si>
  <si>
    <t xml:space="preserve">Python 3.11, FastAPI, WebSockets</t>
  </si>
  <si>
    <t xml:space="preserve">Frontend</t>
  </si>
  <si>
    <t xml:space="preserve">HTML5, Web Audio API, MediaDevices API</t>
  </si>
  <si>
    <t xml:space="preserve">Deployment</t>
  </si>
  <si>
    <t xml:space="preserve">Google Cloud Run, Docker</t>
  </si>
  <si>
    <t xml:space="preserve">IaC</t>
  </si>
  <si>
    <t xml:space="preserve">Terraform + gcloud CLI (bonus points)</t>
  </si>
  <si>
    <t xml:space="preserve">Doc Processing</t>
  </si>
  <si>
    <t xml:space="preserve">PyPDF2, python-docx</t>
  </si>
  <si>
    <t xml:space="preserve">KEY DIFFERENTIATORS</t>
  </si>
  <si>
    <t xml:space="preserve">Zero Hallucination</t>
  </si>
  <si>
    <t xml:space="preserve">5-layer grounding architecture ensures every response is cited</t>
  </si>
  <si>
    <t xml:space="preserve">Multimodal</t>
  </si>
  <si>
    <t xml:space="preserve">Voice (real-time) + Vision (camera) + Text input</t>
  </si>
  <si>
    <t xml:space="preserve">Enterprise Security</t>
  </si>
  <si>
    <t xml:space="preserve">Prompt injection defense, content treated as data not instructions</t>
  </si>
  <si>
    <t xml:space="preserve">Audit Trail</t>
  </si>
  <si>
    <t xml:space="preserve">Full transparency log of every query, citation, and validation</t>
  </si>
  <si>
    <t xml:space="preserve">Citation Validation</t>
  </si>
  <si>
    <t xml:space="preserve">Post-response checker verifies every [Source N] reference exists</t>
  </si>
  <si>
    <t xml:space="preserve">48-HOUR EXECUTION PLAN</t>
  </si>
  <si>
    <t xml:space="preserve">#</t>
  </si>
  <si>
    <t xml:space="preserve">Task</t>
  </si>
  <si>
    <t xml:space="preserve">Priority</t>
  </si>
  <si>
    <t xml:space="preserve">Est. Hours</t>
  </si>
  <si>
    <t xml:space="preserve">Notes</t>
  </si>
  <si>
    <t xml:space="preserve">Set up Google Cloud account + billing</t>
  </si>
  <si>
    <t xml:space="preserve">Setup</t>
  </si>
  <si>
    <t xml:space="preserve">CRITICAL</t>
  </si>
  <si>
    <t xml:space="preserve">Mar 14, 6:00 PM</t>
  </si>
  <si>
    <t xml:space="preserve">Pending</t>
  </si>
  <si>
    <t xml:space="preserve">Free $300 trial credits</t>
  </si>
  <si>
    <t xml:space="preserve">Create .env with Gemini API key</t>
  </si>
  <si>
    <t xml:space="preserve">Mar 14, 6:15 PM</t>
  </si>
  <si>
    <t xml:space="preserve">Copy from .env.example</t>
  </si>
  <si>
    <t xml:space="preserve">Install Python dependencies</t>
  </si>
  <si>
    <t xml:space="preserve">Mar 14, 6:30 PM</t>
  </si>
  <si>
    <t xml:space="preserve">pip install -r requirements.txt</t>
  </si>
  <si>
    <t xml:space="preserve">Test backend locally (python main.py)</t>
  </si>
  <si>
    <t xml:space="preserve">Mar 14, 7:00 PM</t>
  </si>
  <si>
    <t xml:space="preserve">Verify http://localhost:8080</t>
  </si>
  <si>
    <t xml:space="preserve">Upload test documents + verify chunking</t>
  </si>
  <si>
    <t xml:space="preserve">HIGH</t>
  </si>
  <si>
    <t xml:space="preserve">Mar 14, 7:30 PM</t>
  </si>
  <si>
    <t xml:space="preserve">Test PDF, DOCX, TXT</t>
  </si>
  <si>
    <t xml:space="preserve">Test text query endpoint with citations</t>
  </si>
  <si>
    <t xml:space="preserve">Mar 14, 8:00 PM</t>
  </si>
  <si>
    <t xml:space="preserve">Verify [Source N] in responses</t>
  </si>
  <si>
    <t xml:space="preserve">Test WebSocket voice interaction</t>
  </si>
  <si>
    <t xml:space="preserve">Mar 14, 9:00 PM</t>
  </si>
  <si>
    <t xml:space="preserve">Hold mic, speak, hear response</t>
  </si>
  <si>
    <t xml:space="preserve">Test camera feed + vision integration</t>
  </si>
  <si>
    <t xml:space="preserve">Mar 14, 10:00 PM</t>
  </si>
  <si>
    <t xml:space="preserve">Point camera at document</t>
  </si>
  <si>
    <t xml:space="preserve">Fix bugs from testing</t>
  </si>
  <si>
    <t xml:space="preserve">Debug</t>
  </si>
  <si>
    <t xml:space="preserve">Mar 15, 12:00 AM</t>
  </si>
  <si>
    <t xml:space="preserve">Hallucination resistance testing</t>
  </si>
  <si>
    <t xml:space="preserve">QA</t>
  </si>
  <si>
    <t xml:space="preserve">Mar 15, 1:00 AM</t>
  </si>
  <si>
    <t xml:space="preserve">Ask out-of-scope questions</t>
  </si>
  <si>
    <t xml:space="preserve">Polish frontend UI/UX</t>
  </si>
  <si>
    <t xml:space="preserve">MEDIUM</t>
  </si>
  <si>
    <t xml:space="preserve">Mar 15, 3:00 AM</t>
  </si>
  <si>
    <t xml:space="preserve">Animations, responsiveness</t>
  </si>
  <si>
    <t xml:space="preserve">Build Docker image + test locally</t>
  </si>
  <si>
    <t xml:space="preserve">Deploy</t>
  </si>
  <si>
    <t xml:space="preserve">Mar 15, 10:00 AM</t>
  </si>
  <si>
    <t xml:space="preserve">docker build &amp;&amp; docker run</t>
  </si>
  <si>
    <t xml:space="preserve">Deploy to Google Cloud Run</t>
  </si>
  <si>
    <t xml:space="preserve">Mar 15, 11:00 AM</t>
  </si>
  <si>
    <t xml:space="preserve">Run deploy.sh</t>
  </si>
  <si>
    <t xml:space="preserve">Verify live deployment works</t>
  </si>
  <si>
    <t xml:space="preserve">Mar 15, 12:00 PM</t>
  </si>
  <si>
    <t xml:space="preserve">Test all 3 modalities live</t>
  </si>
  <si>
    <t xml:space="preserve">Render architecture diagram to PNG</t>
  </si>
  <si>
    <t xml:space="preserve">Docs</t>
  </si>
  <si>
    <t xml:space="preserve">Mar 15, 1:00 PM</t>
  </si>
  <si>
    <t xml:space="preserve">Use mermaid.live</t>
  </si>
  <si>
    <t xml:space="preserve">Screen record GCP deployment proof</t>
  </si>
  <si>
    <t xml:space="preserve">Mar 15, 1:30 PM</t>
  </si>
  <si>
    <t xml:space="preserve">Show Cloud Run console</t>
  </si>
  <si>
    <t xml:space="preserve">Record demo video (4 min max)</t>
  </si>
  <si>
    <t xml:space="preserve">Submission</t>
  </si>
  <si>
    <t xml:space="preserve">Mar 16, 10:00 AM</t>
  </si>
  <si>
    <t xml:space="preserve">Follow DEMO_SCRIPT.md</t>
  </si>
  <si>
    <t xml:space="preserve">Edit and upload demo video</t>
  </si>
  <si>
    <t xml:space="preserve">Mar 16, 12:00 PM</t>
  </si>
  <si>
    <t xml:space="preserve">YouTube unlisted</t>
  </si>
  <si>
    <t xml:space="preserve">Write + publish blog post</t>
  </si>
  <si>
    <t xml:space="preserve">Bonus</t>
  </si>
  <si>
    <t xml:space="preserve">Mar 16, 1:30 PM</t>
  </si>
  <si>
    <t xml:space="preserve">#GeminiLiveAgentChallenge</t>
  </si>
  <si>
    <t xml:space="preserve">Join Google Developer Group</t>
  </si>
  <si>
    <t xml:space="preserve">LOW</t>
  </si>
  <si>
    <t xml:space="preserve">Mar 16, 2:00 PM</t>
  </si>
  <si>
    <t xml:space="preserve">2-minute task</t>
  </si>
  <si>
    <t xml:space="preserve">Push code to GitHub (public repo)</t>
  </si>
  <si>
    <t xml:space="preserve">Mar 16, 2:30 PM</t>
  </si>
  <si>
    <t xml:space="preserve">Verify no API keys!</t>
  </si>
  <si>
    <t xml:space="preserve">Submit on DevPost</t>
  </si>
  <si>
    <t xml:space="preserve">Mar 16, 3:00 PM</t>
  </si>
  <si>
    <t xml:space="preserve">Before 5 PM PDT!</t>
  </si>
  <si>
    <t xml:space="preserve">Final review of all submission items</t>
  </si>
  <si>
    <t xml:space="preserve">Mar 16, 4:00 PM</t>
  </si>
  <si>
    <t xml:space="preserve">Double-check everything</t>
  </si>
  <si>
    <t xml:space="preserve">TOTAL HOURS:</t>
  </si>
  <si>
    <t xml:space="preserve">PROJECT ARCHITECTURE &amp; FILE MAP</t>
  </si>
  <si>
    <t xml:space="preserve">File Path</t>
  </si>
  <si>
    <t xml:space="preserve">Component</t>
  </si>
  <si>
    <t xml:space="preserve">Purpose</t>
  </si>
  <si>
    <t xml:space="preserve">Lines (est.)</t>
  </si>
  <si>
    <t xml:space="preserve">Complexity</t>
  </si>
  <si>
    <t xml:space="preserve">backend/main.py</t>
  </si>
  <si>
    <t xml:space="preserve">FastAPI server, WebSocket, REST endpoints, Gemini Live API</t>
  </si>
  <si>
    <t xml:space="preserve">High</t>
  </si>
  <si>
    <t xml:space="preserve">backend/document_store.py</t>
  </si>
  <si>
    <t xml:space="preserve">Document ingestion, chunking, BM25 retrieval</t>
  </si>
  <si>
    <t xml:space="preserve">Medium</t>
  </si>
  <si>
    <t xml:space="preserve">backend/grounding_engine.py</t>
  </si>
  <si>
    <t xml:space="preserve">Zero-hallucination pipeline, citation validation</t>
  </si>
  <si>
    <t xml:space="preserve">backend/requirements.txt</t>
  </si>
  <si>
    <t xml:space="preserve">Python dependencies</t>
  </si>
  <si>
    <t xml:space="preserve">Low</t>
  </si>
  <si>
    <t xml:space="preserve">backend/.env.example</t>
  </si>
  <si>
    <t xml:space="preserve">Config</t>
  </si>
  <si>
    <t xml:space="preserve">Environment variable template</t>
  </si>
  <si>
    <t xml:space="preserve">frontend/index.html</t>
  </si>
  <si>
    <t xml:space="preserve">Full UI: voice, camera, text, citations, audit trail</t>
  </si>
  <si>
    <t xml:space="preserve">Dockerfile</t>
  </si>
  <si>
    <t xml:space="preserve">Multi-stage Docker build, non-root user, health check</t>
  </si>
  <si>
    <t xml:space="preserve">deployment/deploy.sh</t>
  </si>
  <si>
    <t xml:space="preserve">One-command Cloud Run deployment script</t>
  </si>
  <si>
    <t xml:space="preserve">deployment/terraform/main.tf</t>
  </si>
  <si>
    <t xml:space="preserve">Terraform infrastructure-as-code for GCP</t>
  </si>
  <si>
    <t xml:space="preserve">docs/architecture.mermaid</t>
  </si>
  <si>
    <t xml:space="preserve">Full system architecture diagram</t>
  </si>
  <si>
    <t xml:space="preserve">docs/DEMO_SCRIPT.md</t>
  </si>
  <si>
    <t xml:space="preserve">4-minute demo video script with scenes</t>
  </si>
  <si>
    <t xml:space="preserve">docs/SUBMISSION_CHECKLIST.md</t>
  </si>
  <si>
    <t xml:space="preserve">DevPost submission requirements tracker</t>
  </si>
  <si>
    <t xml:space="preserve">README.md</t>
  </si>
  <si>
    <t xml:space="preserve">Complete project documentation</t>
  </si>
  <si>
    <t xml:space="preserve">.gitignore</t>
  </si>
  <si>
    <t xml:space="preserve">Git ignore rules</t>
  </si>
  <si>
    <t xml:space="preserve">TOTAL LINES:</t>
  </si>
  <si>
    <t xml:space="preserve">JUDGING CRITERIA ANALYSIS &amp; SELF-ASSESSMENT</t>
  </si>
  <si>
    <t xml:space="preserve">Criterion</t>
  </si>
  <si>
    <t xml:space="preserve">Weight</t>
  </si>
  <si>
    <t xml:space="preserve">Sub-Criteria</t>
  </si>
  <si>
    <t xml:space="preserve">Our Approach</t>
  </si>
  <si>
    <t xml:space="preserve">Self-Score (1-10)</t>
  </si>
  <si>
    <t xml:space="preserve">Weighted Score</t>
  </si>
  <si>
    <t xml:space="preserve">Innovation &amp; Multimodal UX</t>
  </si>
  <si>
    <t xml:space="preserve">40%</t>
  </si>
  <si>
    <t xml:space="preserve">Breaking beyond text paradigms</t>
  </si>
  <si>
    <t xml:space="preserve">Voice + Vision + Text — full multimodal interaction</t>
  </si>
  <si>
    <t xml:space="preserve">See/Hear/Speak integration</t>
  </si>
  <si>
    <t xml:space="preserve">Gemini Live API: real-time audio + camera + text</t>
  </si>
  <si>
    <t xml:space="preserve">Distinct persona/voice</t>
  </si>
  <si>
    <t xml:space="preserve">Professional Kore voice + GroundTruth personality</t>
  </si>
  <si>
    <t xml:space="preserve">Live &amp; context-aware</t>
  </si>
  <si>
    <t xml:space="preserve">Real-time streaming, document-grounded context</t>
  </si>
  <si>
    <t xml:space="preserve">SUBTOTAL (avg)</t>
  </si>
  <si>
    <t xml:space="preserve">Technical Implementation</t>
  </si>
  <si>
    <t xml:space="preserve">30%</t>
  </si>
  <si>
    <t xml:space="preserve">Effective GenAI SDK usage</t>
  </si>
  <si>
    <t xml:space="preserve">google-genai SDK, Live API, proper session mgmt</t>
  </si>
  <si>
    <t xml:space="preserve">Robust Cloud backend</t>
  </si>
  <si>
    <t xml:space="preserve">Cloud Run, Docker, Terraform IaC</t>
  </si>
  <si>
    <t xml:space="preserve">Sound agent logic</t>
  </si>
  <si>
    <t xml:space="preserve">5-layer grounding pipeline, BM25 retrieval</t>
  </si>
  <si>
    <t xml:space="preserve">Hallucination avoidance</t>
  </si>
  <si>
    <t xml:space="preserve">Citation enforcement + post-response validation</t>
  </si>
  <si>
    <t xml:space="preserve">Demo &amp; Presentation</t>
  </si>
  <si>
    <t xml:space="preserve">Clear problem/solution</t>
  </si>
  <si>
    <t xml:space="preserve">Enterprise hallucination problem — GroundTruth solution</t>
  </si>
  <si>
    <t xml:space="preserve">Architecture diagram</t>
  </si>
  <si>
    <t xml:space="preserve">Mermaid diagram with full pipeline visualization</t>
  </si>
  <si>
    <t xml:space="preserve">Cloud deployment proof</t>
  </si>
  <si>
    <t xml:space="preserve">deploy.sh recording + Cloud Run console</t>
  </si>
  <si>
    <t xml:space="preserve">Live software demo</t>
  </si>
  <si>
    <t xml:space="preserve">4-min video: voice, camera, citations, hallucination test</t>
  </si>
  <si>
    <t xml:space="preserve">PROJECTED TOTAL SCORE (out of 10)</t>
  </si>
  <si>
    <t xml:space="preserve">PRIZE STRUCTURE &amp; WIN PROBABILITY ANALYSIS</t>
  </si>
  <si>
    <t xml:space="preserve">Prize Tier</t>
  </si>
  <si>
    <t xml:space="preserve">Cash Prize</t>
  </si>
  <si>
    <t xml:space="preserve">GCP Credits</t>
  </si>
  <si>
    <t xml:space="preserve">Other Perks</t>
  </si>
  <si>
    <t xml:space="preserve">Win Probability</t>
  </si>
  <si>
    <t xml:space="preserve">Expected Value</t>
  </si>
  <si>
    <t xml:space="preserve">Grand Prize (1 winner)</t>
  </si>
  <si>
    <t xml:space="preserve">2x Cloud Next tickets + travel ($6K), demo opportunity</t>
  </si>
  <si>
    <t xml:space="preserve">Best Live Agents (1 winner)</t>
  </si>
  <si>
    <t xml:space="preserve">2x Cloud Next tickets, Google Coffee</t>
  </si>
  <si>
    <t xml:space="preserve">Best Multimodal Integration (1)</t>
  </si>
  <si>
    <t xml:space="preserve">Google Coffee</t>
  </si>
  <si>
    <t xml:space="preserve">Best Technical Execution (1)</t>
  </si>
  <si>
    <t xml:space="preserve">Best Innovation &amp; Thought Leadership (1)</t>
  </si>
  <si>
    <t xml:space="preserve">Honorable Mention (5 winners)</t>
  </si>
  <si>
    <t xml:space="preserve">TOTAL EXPECTED VALUE:</t>
  </si>
  <si>
    <t xml:space="preserve">Note: Prizes may be stackable (e.g., Grand Prize + Best Live Agents). Max potential: $35,000 + $4,000 GCP credits + conference perks.</t>
  </si>
  <si>
    <t xml:space="preserve">DEVPOST SUBMISSION REQUIREMENTS TRACKER</t>
  </si>
  <si>
    <t xml:space="preserve">Requirement</t>
  </si>
  <si>
    <t xml:space="preserve">Type</t>
  </si>
  <si>
    <t xml:space="preserve">Text description (features, tech, learnings)</t>
  </si>
  <si>
    <t xml:space="preserve">Required</t>
  </si>
  <si>
    <t xml:space="preserve">Adapt from README.md</t>
  </si>
  <si>
    <t xml:space="preserve">Public GitHub repository</t>
  </si>
  <si>
    <t xml:space="preserve">Ensure no API keys in code</t>
  </si>
  <si>
    <t xml:space="preserve">Reproducible setup instructions in repo</t>
  </si>
  <si>
    <t xml:space="preserve">README has Quick Start section</t>
  </si>
  <si>
    <t xml:space="preserve">Google Cloud deployment proof (recording/code)</t>
  </si>
  <si>
    <t xml:space="preserve">Screen record deploy.sh running</t>
  </si>
  <si>
    <t xml:space="preserve">Architecture diagram (visual)</t>
  </si>
  <si>
    <t xml:space="preserve">Render architecture.mermaid to PNG</t>
  </si>
  <si>
    <t xml:space="preserve">Demo video (under 4 minutes)</t>
  </si>
  <si>
    <t xml:space="preserve">Live multimodal features shown (no mockups)</t>
  </si>
  <si>
    <t xml:space="preserve">Voice + Camera + Text in video</t>
  </si>
  <si>
    <t xml:space="preserve">Problem/solution pitch in video</t>
  </si>
  <si>
    <t xml:space="preserve">First 30 seconds of video</t>
  </si>
  <si>
    <t xml:space="preserve">Publish blog/content with #GeminiLiveAgentChallenge</t>
  </si>
  <si>
    <t xml:space="preserve">Medium or Dev.to post</t>
  </si>
  <si>
    <t xml:space="preserve">Automated Cloud deployment (IaC)</t>
  </si>
  <si>
    <t xml:space="preserve">Done</t>
  </si>
  <si>
    <t xml:space="preserve">Terraform + deploy.sh included</t>
  </si>
  <si>
    <t xml:space="preserve">Join Google Developer Group (public profile)</t>
  </si>
  <si>
    <t xml:space="preserve">Takes 2 minutes</t>
  </si>
  <si>
    <t xml:space="preserve">Uses Gemini model</t>
  </si>
  <si>
    <t xml:space="preserve">Universal Req</t>
  </si>
  <si>
    <t xml:space="preserve">gemini-2.5-flash-native-audio</t>
  </si>
  <si>
    <t xml:space="preserve">Uses Google GenAI SDK or ADK</t>
  </si>
  <si>
    <t xml:space="preserve">google-genai SDK</t>
  </si>
  <si>
    <t xml:space="preserve">Backend deployed on Google Cloud</t>
  </si>
  <si>
    <t xml:space="preserve">Cloud Run deployment</t>
  </si>
  <si>
    <t xml:space="preserve">Includes at least one Google Cloud service</t>
  </si>
  <si>
    <t xml:space="preserve">Cloud Run + (optional GCS)</t>
  </si>
  <si>
    <t xml:space="preserve">COMPLETION: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</si>
</sst>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$#,##0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0"/>
      <color rgb="FFD32F2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F9A825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JetBrains Mono, Consolas, Arial"/>
      <family val="0"/>
      <charset val="1"/>
    </font>
    <font>
      <sz val="10"/>
      <color rgb="FFE651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i val="true"/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1F8E9"/>
        <bgColor rgb="FFFFFFFF"/>
      </patternFill>
    </fill>
    <fill>
      <patternFill patternType="solid">
        <fgColor rgb="FFFFFFFF"/>
        <bgColor rgb="FFF1F8E9"/>
      </patternFill>
    </fill>
    <fill>
      <patternFill patternType="solid">
        <fgColor rgb="FFFFF9C4"/>
        <bgColor rgb="FFF1F8E9"/>
      </patternFill>
    </fill>
    <fill>
      <patternFill patternType="solid">
        <fgColor rgb="FF0D47A1"/>
        <bgColor rgb="FF01579B"/>
      </patternFill>
    </fill>
    <fill>
      <patternFill patternType="solid">
        <fgColor rgb="FF4A148C"/>
        <bgColor rgb="FF333399"/>
      </patternFill>
    </fill>
    <fill>
      <patternFill patternType="solid">
        <fgColor rgb="FFBF360C"/>
        <bgColor rgb="FFD32F2F"/>
      </patternFill>
    </fill>
    <fill>
      <patternFill patternType="solid">
        <fgColor rgb="FFE0E0E0"/>
        <bgColor rgb="FFC8E6C9"/>
      </patternFill>
    </fill>
    <fill>
      <patternFill patternType="solid">
        <fgColor rgb="FF01579B"/>
        <bgColor rgb="FF0D47A1"/>
      </patternFill>
    </fill>
    <fill>
      <patternFill patternType="solid">
        <fgColor rgb="FFE65100"/>
        <bgColor rgb="FFBF360C"/>
      </patternFill>
    </fill>
    <fill>
      <patternFill patternType="solid">
        <fgColor rgb="FFC8E6C9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1579B"/>
      <rgbColor rgb="FFBDBDBD"/>
      <rgbColor rgb="FF808080"/>
      <rgbColor rgb="FF9999FF"/>
      <rgbColor rgb="FFD32F2F"/>
      <rgbColor rgb="FFFFF9C4"/>
      <rgbColor rgb="FFF1F8E9"/>
      <rgbColor rgb="FF4A148C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0D47A1"/>
      <rgbColor rgb="FF2E7D32"/>
      <rgbColor rgb="FF003300"/>
      <rgbColor rgb="FF333300"/>
      <rgbColor rgb="FFBF36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  <c r="B5" s="6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6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5" t="s">
        <v>17</v>
      </c>
      <c r="B11" s="6" t="s">
        <v>18</v>
      </c>
    </row>
    <row r="12" customFormat="false" ht="15" hidden="false" customHeight="false" outlineLevel="0" collapsed="false">
      <c r="A12" s="7"/>
      <c r="B12" s="7"/>
    </row>
    <row r="13" customFormat="false" ht="15" hidden="false" customHeight="false" outlineLevel="0" collapsed="false">
      <c r="A13" s="7" t="s">
        <v>19</v>
      </c>
      <c r="B13" s="7"/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3" t="s">
        <v>32</v>
      </c>
      <c r="B20" s="4" t="s">
        <v>33</v>
      </c>
    </row>
    <row r="21" customFormat="false" ht="15" hidden="false" customHeight="false" outlineLevel="0" collapsed="false">
      <c r="A21" s="7"/>
      <c r="B21" s="7"/>
    </row>
    <row r="22" customFormat="false" ht="15" hidden="false" customHeight="false" outlineLevel="0" collapsed="false">
      <c r="A22" s="7" t="s">
        <v>34</v>
      </c>
      <c r="B22" s="7"/>
    </row>
    <row r="23" customFormat="false" ht="15" hidden="false" customHeight="false" outlineLevel="0" collapsed="false">
      <c r="A23" s="5" t="s">
        <v>35</v>
      </c>
      <c r="B23" s="6" t="s">
        <v>36</v>
      </c>
    </row>
    <row r="24" customFormat="false" ht="15" hidden="false" customHeight="false" outlineLevel="0" collapsed="false">
      <c r="A24" s="3" t="s">
        <v>37</v>
      </c>
      <c r="B24" s="4" t="s">
        <v>38</v>
      </c>
    </row>
    <row r="25" customFormat="false" ht="15" hidden="false" customHeight="false" outlineLevel="0" collapsed="false">
      <c r="A25" s="5" t="s">
        <v>39</v>
      </c>
      <c r="B25" s="6" t="s">
        <v>40</v>
      </c>
    </row>
    <row r="26" customFormat="false" ht="15" hidden="false" customHeight="false" outlineLevel="0" collapsed="false">
      <c r="A26" s="3" t="s">
        <v>41</v>
      </c>
      <c r="B26" s="4" t="s">
        <v>42</v>
      </c>
    </row>
    <row r="27" customFormat="false" ht="15" hidden="false" customHeight="false" outlineLevel="0" collapsed="false">
      <c r="A27" s="5" t="s">
        <v>43</v>
      </c>
      <c r="B27" s="6" t="s">
        <v>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39.75" hidden="false" customHeight="true" outlineLevel="0" collapsed="false">
      <c r="A1" s="8" t="s">
        <v>45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46</v>
      </c>
      <c r="B3" s="9" t="s">
        <v>47</v>
      </c>
      <c r="C3" s="9" t="s">
        <v>9</v>
      </c>
      <c r="D3" s="9" t="s">
        <v>48</v>
      </c>
      <c r="E3" s="9" t="s">
        <v>49</v>
      </c>
      <c r="F3" s="9" t="s">
        <v>13</v>
      </c>
      <c r="G3" s="9" t="s">
        <v>17</v>
      </c>
      <c r="H3" s="9" t="s">
        <v>50</v>
      </c>
    </row>
    <row r="4" customFormat="false" ht="15" hidden="false" customHeight="false" outlineLevel="0" collapsed="false">
      <c r="A4" s="10" t="n">
        <v>1</v>
      </c>
      <c r="B4" s="4" t="s">
        <v>51</v>
      </c>
      <c r="C4" s="4" t="s">
        <v>52</v>
      </c>
      <c r="D4" s="11" t="s">
        <v>53</v>
      </c>
      <c r="E4" s="10" t="n">
        <v>0.5</v>
      </c>
      <c r="F4" s="4" t="s">
        <v>54</v>
      </c>
      <c r="G4" s="12" t="s">
        <v>55</v>
      </c>
      <c r="H4" s="4" t="s">
        <v>56</v>
      </c>
    </row>
    <row r="5" customFormat="false" ht="15" hidden="false" customHeight="false" outlineLevel="0" collapsed="false">
      <c r="A5" s="13" t="n">
        <v>2</v>
      </c>
      <c r="B5" s="6" t="s">
        <v>57</v>
      </c>
      <c r="C5" s="6" t="s">
        <v>52</v>
      </c>
      <c r="D5" s="14" t="s">
        <v>53</v>
      </c>
      <c r="E5" s="13" t="n">
        <v>0.1</v>
      </c>
      <c r="F5" s="6" t="s">
        <v>58</v>
      </c>
      <c r="G5" s="12" t="s">
        <v>55</v>
      </c>
      <c r="H5" s="6" t="s">
        <v>59</v>
      </c>
    </row>
    <row r="6" customFormat="false" ht="15" hidden="false" customHeight="false" outlineLevel="0" collapsed="false">
      <c r="A6" s="10" t="n">
        <v>3</v>
      </c>
      <c r="B6" s="4" t="s">
        <v>60</v>
      </c>
      <c r="C6" s="4" t="s">
        <v>52</v>
      </c>
      <c r="D6" s="11" t="s">
        <v>53</v>
      </c>
      <c r="E6" s="10" t="n">
        <v>0.2</v>
      </c>
      <c r="F6" s="4" t="s">
        <v>61</v>
      </c>
      <c r="G6" s="12" t="s">
        <v>55</v>
      </c>
      <c r="H6" s="4" t="s">
        <v>62</v>
      </c>
    </row>
    <row r="7" customFormat="false" ht="15" hidden="false" customHeight="false" outlineLevel="0" collapsed="false">
      <c r="A7" s="13" t="n">
        <v>4</v>
      </c>
      <c r="B7" s="6" t="s">
        <v>63</v>
      </c>
      <c r="C7" s="6" t="s">
        <v>24</v>
      </c>
      <c r="D7" s="14" t="s">
        <v>53</v>
      </c>
      <c r="E7" s="13" t="n">
        <v>0.5</v>
      </c>
      <c r="F7" s="6" t="s">
        <v>64</v>
      </c>
      <c r="G7" s="12" t="s">
        <v>55</v>
      </c>
      <c r="H7" s="6" t="s">
        <v>65</v>
      </c>
    </row>
    <row r="8" customFormat="false" ht="15" hidden="false" customHeight="false" outlineLevel="0" collapsed="false">
      <c r="A8" s="10" t="n">
        <v>5</v>
      </c>
      <c r="B8" s="4" t="s">
        <v>66</v>
      </c>
      <c r="C8" s="4" t="s">
        <v>24</v>
      </c>
      <c r="D8" s="15" t="s">
        <v>67</v>
      </c>
      <c r="E8" s="10" t="n">
        <v>0.5</v>
      </c>
      <c r="F8" s="4" t="s">
        <v>68</v>
      </c>
      <c r="G8" s="12" t="s">
        <v>55</v>
      </c>
      <c r="H8" s="4" t="s">
        <v>69</v>
      </c>
    </row>
    <row r="9" customFormat="false" ht="15" hidden="false" customHeight="false" outlineLevel="0" collapsed="false">
      <c r="A9" s="13" t="n">
        <v>6</v>
      </c>
      <c r="B9" s="6" t="s">
        <v>70</v>
      </c>
      <c r="C9" s="6" t="s">
        <v>24</v>
      </c>
      <c r="D9" s="16" t="s">
        <v>67</v>
      </c>
      <c r="E9" s="13" t="n">
        <v>0.5</v>
      </c>
      <c r="F9" s="6" t="s">
        <v>71</v>
      </c>
      <c r="G9" s="12" t="s">
        <v>55</v>
      </c>
      <c r="H9" s="6" t="s">
        <v>72</v>
      </c>
    </row>
    <row r="10" customFormat="false" ht="15" hidden="false" customHeight="false" outlineLevel="0" collapsed="false">
      <c r="A10" s="10" t="n">
        <v>7</v>
      </c>
      <c r="B10" s="4" t="s">
        <v>73</v>
      </c>
      <c r="C10" s="4" t="s">
        <v>26</v>
      </c>
      <c r="D10" s="15" t="s">
        <v>67</v>
      </c>
      <c r="E10" s="10" t="n">
        <v>1</v>
      </c>
      <c r="F10" s="4" t="s">
        <v>74</v>
      </c>
      <c r="G10" s="12" t="s">
        <v>55</v>
      </c>
      <c r="H10" s="4" t="s">
        <v>75</v>
      </c>
    </row>
    <row r="11" customFormat="false" ht="15" hidden="false" customHeight="false" outlineLevel="0" collapsed="false">
      <c r="A11" s="13" t="n">
        <v>8</v>
      </c>
      <c r="B11" s="6" t="s">
        <v>76</v>
      </c>
      <c r="C11" s="6" t="s">
        <v>26</v>
      </c>
      <c r="D11" s="16" t="s">
        <v>67</v>
      </c>
      <c r="E11" s="13" t="n">
        <v>1</v>
      </c>
      <c r="F11" s="6" t="s">
        <v>77</v>
      </c>
      <c r="G11" s="12" t="s">
        <v>55</v>
      </c>
      <c r="H11" s="6" t="s">
        <v>78</v>
      </c>
    </row>
    <row r="12" customFormat="false" ht="15" hidden="false" customHeight="false" outlineLevel="0" collapsed="false">
      <c r="A12" s="10" t="n">
        <v>9</v>
      </c>
      <c r="B12" s="4" t="s">
        <v>79</v>
      </c>
      <c r="C12" s="4" t="s">
        <v>80</v>
      </c>
      <c r="D12" s="15" t="s">
        <v>67</v>
      </c>
      <c r="E12" s="10" t="n">
        <v>2</v>
      </c>
      <c r="F12" s="4" t="s">
        <v>81</v>
      </c>
      <c r="G12" s="12" t="s">
        <v>55</v>
      </c>
      <c r="H12" s="4"/>
    </row>
    <row r="13" customFormat="false" ht="15" hidden="false" customHeight="false" outlineLevel="0" collapsed="false">
      <c r="A13" s="13" t="n">
        <v>10</v>
      </c>
      <c r="B13" s="6" t="s">
        <v>82</v>
      </c>
      <c r="C13" s="6" t="s">
        <v>83</v>
      </c>
      <c r="D13" s="14" t="s">
        <v>53</v>
      </c>
      <c r="E13" s="13" t="n">
        <v>1</v>
      </c>
      <c r="F13" s="6" t="s">
        <v>84</v>
      </c>
      <c r="G13" s="12" t="s">
        <v>55</v>
      </c>
      <c r="H13" s="6" t="s">
        <v>85</v>
      </c>
    </row>
    <row r="14" customFormat="false" ht="15" hidden="false" customHeight="false" outlineLevel="0" collapsed="false">
      <c r="A14" s="10" t="n">
        <v>11</v>
      </c>
      <c r="B14" s="4" t="s">
        <v>86</v>
      </c>
      <c r="C14" s="4" t="s">
        <v>26</v>
      </c>
      <c r="D14" s="17" t="s">
        <v>87</v>
      </c>
      <c r="E14" s="10" t="n">
        <v>1.5</v>
      </c>
      <c r="F14" s="4" t="s">
        <v>88</v>
      </c>
      <c r="G14" s="12" t="s">
        <v>55</v>
      </c>
      <c r="H14" s="4" t="s">
        <v>89</v>
      </c>
    </row>
    <row r="15" customFormat="false" ht="15" hidden="false" customHeight="false" outlineLevel="0" collapsed="false">
      <c r="A15" s="13" t="n">
        <v>12</v>
      </c>
      <c r="B15" s="6" t="s">
        <v>90</v>
      </c>
      <c r="C15" s="6" t="s">
        <v>91</v>
      </c>
      <c r="D15" s="16" t="s">
        <v>67</v>
      </c>
      <c r="E15" s="13" t="n">
        <v>1</v>
      </c>
      <c r="F15" s="6" t="s">
        <v>92</v>
      </c>
      <c r="G15" s="12" t="s">
        <v>55</v>
      </c>
      <c r="H15" s="6" t="s">
        <v>93</v>
      </c>
    </row>
    <row r="16" customFormat="false" ht="15" hidden="false" customHeight="false" outlineLevel="0" collapsed="false">
      <c r="A16" s="10" t="n">
        <v>13</v>
      </c>
      <c r="B16" s="4" t="s">
        <v>94</v>
      </c>
      <c r="C16" s="4" t="s">
        <v>91</v>
      </c>
      <c r="D16" s="11" t="s">
        <v>53</v>
      </c>
      <c r="E16" s="10" t="n">
        <v>1</v>
      </c>
      <c r="F16" s="4" t="s">
        <v>95</v>
      </c>
      <c r="G16" s="12" t="s">
        <v>55</v>
      </c>
      <c r="H16" s="4" t="s">
        <v>96</v>
      </c>
    </row>
    <row r="17" customFormat="false" ht="15" hidden="false" customHeight="false" outlineLevel="0" collapsed="false">
      <c r="A17" s="13" t="n">
        <v>14</v>
      </c>
      <c r="B17" s="6" t="s">
        <v>97</v>
      </c>
      <c r="C17" s="6" t="s">
        <v>91</v>
      </c>
      <c r="D17" s="14" t="s">
        <v>53</v>
      </c>
      <c r="E17" s="13" t="n">
        <v>0.5</v>
      </c>
      <c r="F17" s="6" t="s">
        <v>98</v>
      </c>
      <c r="G17" s="12" t="s">
        <v>55</v>
      </c>
      <c r="H17" s="6" t="s">
        <v>99</v>
      </c>
    </row>
    <row r="18" customFormat="false" ht="15" hidden="false" customHeight="false" outlineLevel="0" collapsed="false">
      <c r="A18" s="10" t="n">
        <v>15</v>
      </c>
      <c r="B18" s="4" t="s">
        <v>100</v>
      </c>
      <c r="C18" s="4" t="s">
        <v>101</v>
      </c>
      <c r="D18" s="15" t="s">
        <v>67</v>
      </c>
      <c r="E18" s="10" t="n">
        <v>0.3</v>
      </c>
      <c r="F18" s="4" t="s">
        <v>102</v>
      </c>
      <c r="G18" s="12" t="s">
        <v>55</v>
      </c>
      <c r="H18" s="4" t="s">
        <v>103</v>
      </c>
    </row>
    <row r="19" customFormat="false" ht="15" hidden="false" customHeight="false" outlineLevel="0" collapsed="false">
      <c r="A19" s="13" t="n">
        <v>16</v>
      </c>
      <c r="B19" s="6" t="s">
        <v>104</v>
      </c>
      <c r="C19" s="6" t="s">
        <v>101</v>
      </c>
      <c r="D19" s="16" t="s">
        <v>67</v>
      </c>
      <c r="E19" s="13" t="n">
        <v>0.3</v>
      </c>
      <c r="F19" s="6" t="s">
        <v>105</v>
      </c>
      <c r="G19" s="12" t="s">
        <v>55</v>
      </c>
      <c r="H19" s="6" t="s">
        <v>106</v>
      </c>
    </row>
    <row r="20" customFormat="false" ht="15" hidden="false" customHeight="false" outlineLevel="0" collapsed="false">
      <c r="A20" s="10" t="n">
        <v>17</v>
      </c>
      <c r="B20" s="4" t="s">
        <v>107</v>
      </c>
      <c r="C20" s="4" t="s">
        <v>108</v>
      </c>
      <c r="D20" s="11" t="s">
        <v>53</v>
      </c>
      <c r="E20" s="10" t="n">
        <v>2</v>
      </c>
      <c r="F20" s="4" t="s">
        <v>109</v>
      </c>
      <c r="G20" s="12" t="s">
        <v>55</v>
      </c>
      <c r="H20" s="4" t="s">
        <v>110</v>
      </c>
    </row>
    <row r="21" customFormat="false" ht="15" hidden="false" customHeight="false" outlineLevel="0" collapsed="false">
      <c r="A21" s="13" t="n">
        <v>18</v>
      </c>
      <c r="B21" s="6" t="s">
        <v>111</v>
      </c>
      <c r="C21" s="6" t="s">
        <v>108</v>
      </c>
      <c r="D21" s="14" t="s">
        <v>53</v>
      </c>
      <c r="E21" s="13" t="n">
        <v>1</v>
      </c>
      <c r="F21" s="6" t="s">
        <v>112</v>
      </c>
      <c r="G21" s="12" t="s">
        <v>55</v>
      </c>
      <c r="H21" s="6" t="s">
        <v>113</v>
      </c>
    </row>
    <row r="22" customFormat="false" ht="15" hidden="false" customHeight="false" outlineLevel="0" collapsed="false">
      <c r="A22" s="10" t="n">
        <v>19</v>
      </c>
      <c r="B22" s="4" t="s">
        <v>114</v>
      </c>
      <c r="C22" s="4" t="s">
        <v>115</v>
      </c>
      <c r="D22" s="17" t="s">
        <v>87</v>
      </c>
      <c r="E22" s="10" t="n">
        <v>1.5</v>
      </c>
      <c r="F22" s="4" t="s">
        <v>116</v>
      </c>
      <c r="G22" s="12" t="s">
        <v>55</v>
      </c>
      <c r="H22" s="4" t="s">
        <v>117</v>
      </c>
    </row>
    <row r="23" customFormat="false" ht="15" hidden="false" customHeight="false" outlineLevel="0" collapsed="false">
      <c r="A23" s="13" t="n">
        <v>20</v>
      </c>
      <c r="B23" s="6" t="s">
        <v>118</v>
      </c>
      <c r="C23" s="6" t="s">
        <v>115</v>
      </c>
      <c r="D23" s="18" t="s">
        <v>119</v>
      </c>
      <c r="E23" s="13" t="n">
        <v>0.1</v>
      </c>
      <c r="F23" s="6" t="s">
        <v>120</v>
      </c>
      <c r="G23" s="12" t="s">
        <v>55</v>
      </c>
      <c r="H23" s="6" t="s">
        <v>121</v>
      </c>
    </row>
    <row r="24" customFormat="false" ht="15" hidden="false" customHeight="false" outlineLevel="0" collapsed="false">
      <c r="A24" s="10" t="n">
        <v>21</v>
      </c>
      <c r="B24" s="4" t="s">
        <v>122</v>
      </c>
      <c r="C24" s="4" t="s">
        <v>108</v>
      </c>
      <c r="D24" s="11" t="s">
        <v>53</v>
      </c>
      <c r="E24" s="10" t="n">
        <v>0.3</v>
      </c>
      <c r="F24" s="4" t="s">
        <v>123</v>
      </c>
      <c r="G24" s="12" t="s">
        <v>55</v>
      </c>
      <c r="H24" s="4" t="s">
        <v>124</v>
      </c>
    </row>
    <row r="25" customFormat="false" ht="15" hidden="false" customHeight="false" outlineLevel="0" collapsed="false">
      <c r="A25" s="13" t="n">
        <v>22</v>
      </c>
      <c r="B25" s="6" t="s">
        <v>125</v>
      </c>
      <c r="C25" s="6" t="s">
        <v>108</v>
      </c>
      <c r="D25" s="14" t="s">
        <v>53</v>
      </c>
      <c r="E25" s="13" t="n">
        <v>0.5</v>
      </c>
      <c r="F25" s="6" t="s">
        <v>126</v>
      </c>
      <c r="G25" s="12" t="s">
        <v>55</v>
      </c>
      <c r="H25" s="6" t="s">
        <v>127</v>
      </c>
    </row>
    <row r="26" customFormat="false" ht="15" hidden="false" customHeight="false" outlineLevel="0" collapsed="false">
      <c r="A26" s="10" t="n">
        <v>23</v>
      </c>
      <c r="B26" s="4" t="s">
        <v>128</v>
      </c>
      <c r="C26" s="4" t="s">
        <v>108</v>
      </c>
      <c r="D26" s="11" t="s">
        <v>53</v>
      </c>
      <c r="E26" s="10" t="n">
        <v>0.5</v>
      </c>
      <c r="F26" s="4" t="s">
        <v>129</v>
      </c>
      <c r="G26" s="12" t="s">
        <v>55</v>
      </c>
      <c r="H26" s="4" t="s">
        <v>130</v>
      </c>
    </row>
    <row r="28" customFormat="false" ht="15" hidden="false" customHeight="false" outlineLevel="0" collapsed="false">
      <c r="D28" s="19" t="s">
        <v>131</v>
      </c>
      <c r="E28" s="20" t="n">
        <f aca="false">SUM(E4:E26)</f>
        <v>17.8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5" min="4" style="0" width="12"/>
  </cols>
  <sheetData>
    <row r="1" customFormat="false" ht="39.75" hidden="false" customHeight="true" outlineLevel="0" collapsed="false">
      <c r="A1" s="21" t="s">
        <v>132</v>
      </c>
      <c r="B1" s="21"/>
      <c r="C1" s="21"/>
      <c r="D1" s="21"/>
      <c r="E1" s="21"/>
    </row>
    <row r="3" customFormat="false" ht="15" hidden="false" customHeight="false" outlineLevel="0" collapsed="false">
      <c r="A3" s="22" t="s">
        <v>133</v>
      </c>
      <c r="B3" s="22" t="s">
        <v>134</v>
      </c>
      <c r="C3" s="22" t="s">
        <v>135</v>
      </c>
      <c r="D3" s="22" t="s">
        <v>136</v>
      </c>
      <c r="E3" s="22" t="s">
        <v>137</v>
      </c>
    </row>
    <row r="4" customFormat="false" ht="23.85" hidden="false" customHeight="false" outlineLevel="0" collapsed="false">
      <c r="A4" s="23" t="s">
        <v>138</v>
      </c>
      <c r="B4" s="4" t="s">
        <v>24</v>
      </c>
      <c r="C4" s="4" t="s">
        <v>139</v>
      </c>
      <c r="D4" s="10" t="n">
        <v>280</v>
      </c>
      <c r="E4" s="11" t="s">
        <v>140</v>
      </c>
    </row>
    <row r="5" customFormat="false" ht="15" hidden="false" customHeight="false" outlineLevel="0" collapsed="false">
      <c r="A5" s="24" t="s">
        <v>141</v>
      </c>
      <c r="B5" s="6" t="s">
        <v>24</v>
      </c>
      <c r="C5" s="6" t="s">
        <v>142</v>
      </c>
      <c r="D5" s="13" t="n">
        <v>160</v>
      </c>
      <c r="E5" s="25" t="s">
        <v>143</v>
      </c>
    </row>
    <row r="6" customFormat="false" ht="15" hidden="false" customHeight="false" outlineLevel="0" collapsed="false">
      <c r="A6" s="23" t="s">
        <v>144</v>
      </c>
      <c r="B6" s="4" t="s">
        <v>24</v>
      </c>
      <c r="C6" s="4" t="s">
        <v>145</v>
      </c>
      <c r="D6" s="10" t="n">
        <v>140</v>
      </c>
      <c r="E6" s="11" t="s">
        <v>140</v>
      </c>
    </row>
    <row r="7" customFormat="false" ht="15" hidden="false" customHeight="false" outlineLevel="0" collapsed="false">
      <c r="A7" s="24" t="s">
        <v>146</v>
      </c>
      <c r="B7" s="6" t="s">
        <v>24</v>
      </c>
      <c r="C7" s="6" t="s">
        <v>147</v>
      </c>
      <c r="D7" s="13" t="n">
        <v>12</v>
      </c>
      <c r="E7" s="18" t="s">
        <v>148</v>
      </c>
    </row>
    <row r="8" customFormat="false" ht="15" hidden="false" customHeight="false" outlineLevel="0" collapsed="false">
      <c r="A8" s="23" t="s">
        <v>149</v>
      </c>
      <c r="B8" s="4" t="s">
        <v>150</v>
      </c>
      <c r="C8" s="4" t="s">
        <v>151</v>
      </c>
      <c r="D8" s="10" t="n">
        <v>8</v>
      </c>
      <c r="E8" s="26" t="s">
        <v>148</v>
      </c>
    </row>
    <row r="9" customFormat="false" ht="15" hidden="false" customHeight="false" outlineLevel="0" collapsed="false">
      <c r="A9" s="24" t="s">
        <v>152</v>
      </c>
      <c r="B9" s="6" t="s">
        <v>26</v>
      </c>
      <c r="C9" s="6" t="s">
        <v>153</v>
      </c>
      <c r="D9" s="13" t="n">
        <v>650</v>
      </c>
      <c r="E9" s="14" t="s">
        <v>140</v>
      </c>
    </row>
    <row r="10" customFormat="false" ht="15" hidden="false" customHeight="false" outlineLevel="0" collapsed="false">
      <c r="A10" s="23" t="s">
        <v>154</v>
      </c>
      <c r="B10" s="4" t="s">
        <v>91</v>
      </c>
      <c r="C10" s="4" t="s">
        <v>155</v>
      </c>
      <c r="D10" s="10" t="n">
        <v>25</v>
      </c>
      <c r="E10" s="27" t="s">
        <v>143</v>
      </c>
    </row>
    <row r="11" customFormat="false" ht="15" hidden="false" customHeight="false" outlineLevel="0" collapsed="false">
      <c r="A11" s="24" t="s">
        <v>156</v>
      </c>
      <c r="B11" s="6" t="s">
        <v>91</v>
      </c>
      <c r="C11" s="6" t="s">
        <v>157</v>
      </c>
      <c r="D11" s="13" t="n">
        <v>55</v>
      </c>
      <c r="E11" s="25" t="s">
        <v>143</v>
      </c>
    </row>
    <row r="12" customFormat="false" ht="15" hidden="false" customHeight="false" outlineLevel="0" collapsed="false">
      <c r="A12" s="23" t="s">
        <v>158</v>
      </c>
      <c r="B12" s="4" t="s">
        <v>30</v>
      </c>
      <c r="C12" s="4" t="s">
        <v>159</v>
      </c>
      <c r="D12" s="10" t="n">
        <v>90</v>
      </c>
      <c r="E12" s="27" t="s">
        <v>143</v>
      </c>
    </row>
    <row r="13" customFormat="false" ht="15" hidden="false" customHeight="false" outlineLevel="0" collapsed="false">
      <c r="A13" s="24" t="s">
        <v>160</v>
      </c>
      <c r="B13" s="6" t="s">
        <v>101</v>
      </c>
      <c r="C13" s="6" t="s">
        <v>161</v>
      </c>
      <c r="D13" s="13" t="n">
        <v>60</v>
      </c>
      <c r="E13" s="18" t="s">
        <v>148</v>
      </c>
    </row>
    <row r="14" customFormat="false" ht="15" hidden="false" customHeight="false" outlineLevel="0" collapsed="false">
      <c r="A14" s="23" t="s">
        <v>162</v>
      </c>
      <c r="B14" s="4" t="s">
        <v>101</v>
      </c>
      <c r="C14" s="4" t="s">
        <v>163</v>
      </c>
      <c r="D14" s="10" t="n">
        <v>100</v>
      </c>
      <c r="E14" s="26" t="s">
        <v>148</v>
      </c>
    </row>
    <row r="15" customFormat="false" ht="15" hidden="false" customHeight="false" outlineLevel="0" collapsed="false">
      <c r="A15" s="24" t="s">
        <v>164</v>
      </c>
      <c r="B15" s="6" t="s">
        <v>101</v>
      </c>
      <c r="C15" s="6" t="s">
        <v>165</v>
      </c>
      <c r="D15" s="13" t="n">
        <v>70</v>
      </c>
      <c r="E15" s="18" t="s">
        <v>148</v>
      </c>
    </row>
    <row r="16" customFormat="false" ht="15" hidden="false" customHeight="false" outlineLevel="0" collapsed="false">
      <c r="A16" s="23" t="s">
        <v>166</v>
      </c>
      <c r="B16" s="4" t="s">
        <v>101</v>
      </c>
      <c r="C16" s="4" t="s">
        <v>167</v>
      </c>
      <c r="D16" s="10" t="n">
        <v>120</v>
      </c>
      <c r="E16" s="26" t="s">
        <v>148</v>
      </c>
    </row>
    <row r="17" customFormat="false" ht="15" hidden="false" customHeight="false" outlineLevel="0" collapsed="false">
      <c r="A17" s="24" t="s">
        <v>168</v>
      </c>
      <c r="B17" s="6" t="s">
        <v>150</v>
      </c>
      <c r="C17" s="6" t="s">
        <v>169</v>
      </c>
      <c r="D17" s="13" t="n">
        <v>10</v>
      </c>
      <c r="E17" s="18" t="s">
        <v>148</v>
      </c>
    </row>
    <row r="18" customFormat="false" ht="15" hidden="false" customHeight="false" outlineLevel="0" collapsed="false">
      <c r="C18" s="19" t="s">
        <v>170</v>
      </c>
      <c r="D18" s="20" t="n">
        <f aca="false">SUM(D4:D17)</f>
        <v>1780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6" min="5" style="0" width="15"/>
  </cols>
  <sheetData>
    <row r="1" customFormat="false" ht="39.75" hidden="false" customHeight="true" outlineLevel="0" collapsed="false">
      <c r="A1" s="28" t="s">
        <v>171</v>
      </c>
      <c r="B1" s="28"/>
      <c r="C1" s="28"/>
      <c r="D1" s="28"/>
      <c r="E1" s="28"/>
      <c r="F1" s="28"/>
    </row>
    <row r="3" customFormat="false" ht="26.85" hidden="false" customHeight="false" outlineLevel="0" collapsed="false">
      <c r="A3" s="29" t="s">
        <v>172</v>
      </c>
      <c r="B3" s="29" t="s">
        <v>173</v>
      </c>
      <c r="C3" s="29" t="s">
        <v>174</v>
      </c>
      <c r="D3" s="29" t="s">
        <v>175</v>
      </c>
      <c r="E3" s="29" t="s">
        <v>176</v>
      </c>
      <c r="F3" s="29" t="s">
        <v>177</v>
      </c>
    </row>
    <row r="4" customFormat="false" ht="15" hidden="false" customHeight="false" outlineLevel="0" collapsed="false">
      <c r="A4" s="4" t="s">
        <v>178</v>
      </c>
      <c r="B4" s="10" t="s">
        <v>179</v>
      </c>
      <c r="C4" s="4" t="s">
        <v>180</v>
      </c>
      <c r="D4" s="4" t="s">
        <v>181</v>
      </c>
      <c r="E4" s="10" t="n">
        <v>9</v>
      </c>
      <c r="F4" s="10"/>
    </row>
    <row r="5" customFormat="false" ht="15" hidden="false" customHeight="false" outlineLevel="0" collapsed="false">
      <c r="A5" s="6"/>
      <c r="B5" s="13"/>
      <c r="C5" s="6" t="s">
        <v>182</v>
      </c>
      <c r="D5" s="6" t="s">
        <v>183</v>
      </c>
      <c r="E5" s="13" t="n">
        <v>9</v>
      </c>
      <c r="F5" s="13"/>
    </row>
    <row r="6" customFormat="false" ht="15" hidden="false" customHeight="false" outlineLevel="0" collapsed="false">
      <c r="A6" s="4"/>
      <c r="B6" s="10"/>
      <c r="C6" s="4" t="s">
        <v>184</v>
      </c>
      <c r="D6" s="4" t="s">
        <v>185</v>
      </c>
      <c r="E6" s="10" t="n">
        <v>8</v>
      </c>
      <c r="F6" s="10"/>
    </row>
    <row r="7" customFormat="false" ht="15" hidden="false" customHeight="false" outlineLevel="0" collapsed="false">
      <c r="A7" s="6"/>
      <c r="B7" s="13"/>
      <c r="C7" s="6" t="s">
        <v>186</v>
      </c>
      <c r="D7" s="6" t="s">
        <v>187</v>
      </c>
      <c r="E7" s="13" t="n">
        <v>9</v>
      </c>
      <c r="F7" s="13"/>
    </row>
    <row r="8" customFormat="false" ht="15" hidden="false" customHeight="false" outlineLevel="0" collapsed="false">
      <c r="A8" s="30"/>
      <c r="B8" s="31"/>
      <c r="C8" s="30" t="s">
        <v>188</v>
      </c>
      <c r="D8" s="30"/>
      <c r="E8" s="31" t="n">
        <f aca="false">AVERAGE(E4:E7)</f>
        <v>8.75</v>
      </c>
      <c r="F8" s="31" t="n">
        <f aca="false">E8*0.4</f>
        <v>3.5</v>
      </c>
    </row>
    <row r="9" customFormat="false" ht="15" hidden="false" customHeight="false" outlineLevel="0" collapsed="false">
      <c r="A9" s="6" t="s">
        <v>189</v>
      </c>
      <c r="B9" s="13" t="s">
        <v>190</v>
      </c>
      <c r="C9" s="6" t="s">
        <v>191</v>
      </c>
      <c r="D9" s="6" t="s">
        <v>192</v>
      </c>
      <c r="E9" s="13" t="n">
        <v>9</v>
      </c>
      <c r="F9" s="13"/>
    </row>
    <row r="10" customFormat="false" ht="15" hidden="false" customHeight="false" outlineLevel="0" collapsed="false">
      <c r="A10" s="4"/>
      <c r="B10" s="10"/>
      <c r="C10" s="4" t="s">
        <v>193</v>
      </c>
      <c r="D10" s="4" t="s">
        <v>194</v>
      </c>
      <c r="E10" s="10" t="n">
        <v>8</v>
      </c>
      <c r="F10" s="10"/>
    </row>
    <row r="11" customFormat="false" ht="15" hidden="false" customHeight="false" outlineLevel="0" collapsed="false">
      <c r="A11" s="6"/>
      <c r="B11" s="13"/>
      <c r="C11" s="6" t="s">
        <v>195</v>
      </c>
      <c r="D11" s="6" t="s">
        <v>196</v>
      </c>
      <c r="E11" s="13" t="n">
        <v>9</v>
      </c>
      <c r="F11" s="13"/>
    </row>
    <row r="12" customFormat="false" ht="15" hidden="false" customHeight="false" outlineLevel="0" collapsed="false">
      <c r="A12" s="4"/>
      <c r="B12" s="10"/>
      <c r="C12" s="4" t="s">
        <v>197</v>
      </c>
      <c r="D12" s="4" t="s">
        <v>198</v>
      </c>
      <c r="E12" s="10" t="n">
        <v>10</v>
      </c>
      <c r="F12" s="10"/>
    </row>
    <row r="13" customFormat="false" ht="15" hidden="false" customHeight="false" outlineLevel="0" collapsed="false">
      <c r="A13" s="30"/>
      <c r="B13" s="31"/>
      <c r="C13" s="30" t="s">
        <v>188</v>
      </c>
      <c r="D13" s="30"/>
      <c r="E13" s="31" t="n">
        <f aca="false">AVERAGE(E9:E12)</f>
        <v>9</v>
      </c>
      <c r="F13" s="31" t="n">
        <f aca="false">E13*0.3</f>
        <v>2.7</v>
      </c>
    </row>
    <row r="14" customFormat="false" ht="15" hidden="false" customHeight="false" outlineLevel="0" collapsed="false">
      <c r="A14" s="4" t="s">
        <v>199</v>
      </c>
      <c r="B14" s="10" t="s">
        <v>190</v>
      </c>
      <c r="C14" s="4" t="s">
        <v>200</v>
      </c>
      <c r="D14" s="4" t="s">
        <v>201</v>
      </c>
      <c r="E14" s="10" t="n">
        <v>9</v>
      </c>
      <c r="F14" s="10"/>
    </row>
    <row r="15" customFormat="false" ht="15" hidden="false" customHeight="false" outlineLevel="0" collapsed="false">
      <c r="A15" s="6"/>
      <c r="B15" s="13"/>
      <c r="C15" s="6" t="s">
        <v>202</v>
      </c>
      <c r="D15" s="6" t="s">
        <v>203</v>
      </c>
      <c r="E15" s="13" t="n">
        <v>8</v>
      </c>
      <c r="F15" s="13"/>
    </row>
    <row r="16" customFormat="false" ht="15" hidden="false" customHeight="false" outlineLevel="0" collapsed="false">
      <c r="A16" s="4"/>
      <c r="B16" s="10"/>
      <c r="C16" s="4" t="s">
        <v>204</v>
      </c>
      <c r="D16" s="4" t="s">
        <v>205</v>
      </c>
      <c r="E16" s="10" t="n">
        <v>8</v>
      </c>
      <c r="F16" s="10"/>
    </row>
    <row r="17" customFormat="false" ht="15" hidden="false" customHeight="false" outlineLevel="0" collapsed="false">
      <c r="A17" s="6"/>
      <c r="B17" s="13"/>
      <c r="C17" s="6" t="s">
        <v>206</v>
      </c>
      <c r="D17" s="6" t="s">
        <v>207</v>
      </c>
      <c r="E17" s="13" t="n">
        <v>9</v>
      </c>
      <c r="F17" s="13"/>
    </row>
    <row r="18" customFormat="false" ht="15" hidden="false" customHeight="false" outlineLevel="0" collapsed="false">
      <c r="A18" s="30"/>
      <c r="B18" s="31"/>
      <c r="C18" s="30" t="s">
        <v>188</v>
      </c>
      <c r="D18" s="30"/>
      <c r="E18" s="31" t="n">
        <f aca="false">AVERAGE(E14:E17)</f>
        <v>8.5</v>
      </c>
      <c r="F18" s="31" t="n">
        <f aca="false">E18*0.3</f>
        <v>2.55</v>
      </c>
    </row>
    <row r="20" customFormat="false" ht="17.35" hidden="false" customHeight="true" outlineLevel="0" collapsed="false">
      <c r="A20" s="32" t="s">
        <v>208</v>
      </c>
      <c r="B20" s="32"/>
      <c r="C20" s="32"/>
      <c r="D20" s="32"/>
      <c r="E20" s="33"/>
      <c r="F20" s="34" t="n">
        <f aca="false">F8+F13+F18</f>
        <v>8.75</v>
      </c>
    </row>
  </sheetData>
  <mergeCells count="2">
    <mergeCell ref="A1:F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579B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5"/>
    <col collapsed="false" customWidth="true" hidden="false" outlineLevel="0" max="4" min="4" style="0" width="40"/>
    <col collapsed="false" customWidth="true" hidden="false" outlineLevel="0" max="6" min="5" style="0" width="18"/>
  </cols>
  <sheetData>
    <row r="1" customFormat="false" ht="39.75" hidden="false" customHeight="true" outlineLevel="0" collapsed="false">
      <c r="A1" s="35" t="s">
        <v>209</v>
      </c>
      <c r="B1" s="35"/>
      <c r="C1" s="35"/>
      <c r="D1" s="35"/>
      <c r="E1" s="35"/>
      <c r="F1" s="35"/>
    </row>
    <row r="3" customFormat="false" ht="15" hidden="false" customHeight="false" outlineLevel="0" collapsed="false">
      <c r="A3" s="36" t="s">
        <v>210</v>
      </c>
      <c r="B3" s="36" t="s">
        <v>211</v>
      </c>
      <c r="C3" s="36" t="s">
        <v>212</v>
      </c>
      <c r="D3" s="36" t="s">
        <v>213</v>
      </c>
      <c r="E3" s="36" t="s">
        <v>214</v>
      </c>
      <c r="F3" s="36" t="s">
        <v>215</v>
      </c>
    </row>
    <row r="4" customFormat="false" ht="23.85" hidden="false" customHeight="false" outlineLevel="0" collapsed="false">
      <c r="A4" s="4" t="s">
        <v>216</v>
      </c>
      <c r="B4" s="37" t="n">
        <v>25000</v>
      </c>
      <c r="C4" s="37" t="n">
        <v>3000</v>
      </c>
      <c r="D4" s="4" t="s">
        <v>217</v>
      </c>
      <c r="E4" s="38" t="n">
        <v>0.05</v>
      </c>
      <c r="F4" s="39" t="n">
        <f aca="false">B4*E4</f>
        <v>1250</v>
      </c>
    </row>
    <row r="5" customFormat="false" ht="15" hidden="false" customHeight="false" outlineLevel="0" collapsed="false">
      <c r="A5" s="6" t="s">
        <v>218</v>
      </c>
      <c r="B5" s="40" t="n">
        <v>10000</v>
      </c>
      <c r="C5" s="40" t="n">
        <v>1000</v>
      </c>
      <c r="D5" s="6" t="s">
        <v>219</v>
      </c>
      <c r="E5" s="41" t="n">
        <v>0.15</v>
      </c>
      <c r="F5" s="42" t="n">
        <f aca="false">B5*E5</f>
        <v>1500</v>
      </c>
    </row>
    <row r="6" customFormat="false" ht="15" hidden="false" customHeight="false" outlineLevel="0" collapsed="false">
      <c r="A6" s="4" t="s">
        <v>220</v>
      </c>
      <c r="B6" s="37" t="n">
        <v>5000</v>
      </c>
      <c r="C6" s="37" t="n">
        <v>500</v>
      </c>
      <c r="D6" s="4" t="s">
        <v>221</v>
      </c>
      <c r="E6" s="38" t="n">
        <v>0.1</v>
      </c>
      <c r="F6" s="39" t="n">
        <f aca="false">B6*E6</f>
        <v>500</v>
      </c>
    </row>
    <row r="7" customFormat="false" ht="15" hidden="false" customHeight="false" outlineLevel="0" collapsed="false">
      <c r="A7" s="6" t="s">
        <v>222</v>
      </c>
      <c r="B7" s="40" t="n">
        <v>5000</v>
      </c>
      <c r="C7" s="40" t="n">
        <v>500</v>
      </c>
      <c r="D7" s="6" t="s">
        <v>221</v>
      </c>
      <c r="E7" s="41" t="n">
        <v>0.12</v>
      </c>
      <c r="F7" s="42" t="n">
        <f aca="false">B7*E7</f>
        <v>600</v>
      </c>
    </row>
    <row r="8" customFormat="false" ht="15" hidden="false" customHeight="false" outlineLevel="0" collapsed="false">
      <c r="A8" s="4" t="s">
        <v>223</v>
      </c>
      <c r="B8" s="37" t="n">
        <v>5000</v>
      </c>
      <c r="C8" s="37" t="n">
        <v>500</v>
      </c>
      <c r="D8" s="4" t="s">
        <v>221</v>
      </c>
      <c r="E8" s="38" t="n">
        <v>0.08</v>
      </c>
      <c r="F8" s="39" t="n">
        <f aca="false">B8*E8</f>
        <v>400</v>
      </c>
    </row>
    <row r="9" customFormat="false" ht="15" hidden="false" customHeight="false" outlineLevel="0" collapsed="false">
      <c r="A9" s="6" t="s">
        <v>224</v>
      </c>
      <c r="B9" s="40" t="n">
        <v>2000</v>
      </c>
      <c r="C9" s="40" t="n">
        <v>500</v>
      </c>
      <c r="D9" s="6" t="s">
        <v>221</v>
      </c>
      <c r="E9" s="41" t="n">
        <v>0.2</v>
      </c>
      <c r="F9" s="42" t="n">
        <f aca="false">B9*E9</f>
        <v>400</v>
      </c>
    </row>
    <row r="11" customFormat="false" ht="15" hidden="false" customHeight="false" outlineLevel="0" collapsed="false">
      <c r="E11" s="19" t="s">
        <v>225</v>
      </c>
      <c r="F11" s="43" t="n">
        <f aca="false">SUM(F4:F9)</f>
        <v>4650</v>
      </c>
    </row>
    <row r="13" customFormat="false" ht="30" hidden="false" customHeight="true" outlineLevel="0" collapsed="false">
      <c r="A13" s="44" t="s">
        <v>226</v>
      </c>
      <c r="B13" s="44"/>
      <c r="C13" s="44"/>
      <c r="D13" s="44"/>
      <c r="E13" s="44"/>
      <c r="F13" s="44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39.75" hidden="false" customHeight="true" outlineLevel="0" collapsed="false">
      <c r="A1" s="45" t="s">
        <v>227</v>
      </c>
      <c r="B1" s="45"/>
      <c r="C1" s="45"/>
      <c r="D1" s="45"/>
      <c r="E1" s="45"/>
    </row>
    <row r="3" customFormat="false" ht="15" hidden="false" customHeight="false" outlineLevel="0" collapsed="false">
      <c r="A3" s="46" t="s">
        <v>46</v>
      </c>
      <c r="B3" s="46" t="s">
        <v>228</v>
      </c>
      <c r="C3" s="46" t="s">
        <v>229</v>
      </c>
      <c r="D3" s="46" t="s">
        <v>17</v>
      </c>
      <c r="E3" s="46" t="s">
        <v>50</v>
      </c>
    </row>
    <row r="4" customFormat="false" ht="15" hidden="false" customHeight="false" outlineLevel="0" collapsed="false">
      <c r="A4" s="10" t="n">
        <v>1</v>
      </c>
      <c r="B4" s="4" t="s">
        <v>230</v>
      </c>
      <c r="C4" s="4" t="s">
        <v>231</v>
      </c>
      <c r="D4" s="12" t="s">
        <v>55</v>
      </c>
      <c r="E4" s="4" t="s">
        <v>232</v>
      </c>
    </row>
    <row r="5" customFormat="false" ht="15" hidden="false" customHeight="false" outlineLevel="0" collapsed="false">
      <c r="A5" s="13" t="n">
        <v>2</v>
      </c>
      <c r="B5" s="6" t="s">
        <v>233</v>
      </c>
      <c r="C5" s="6" t="s">
        <v>231</v>
      </c>
      <c r="D5" s="12" t="s">
        <v>55</v>
      </c>
      <c r="E5" s="6" t="s">
        <v>234</v>
      </c>
    </row>
    <row r="6" customFormat="false" ht="15" hidden="false" customHeight="false" outlineLevel="0" collapsed="false">
      <c r="A6" s="10" t="n">
        <v>3</v>
      </c>
      <c r="B6" s="4" t="s">
        <v>235</v>
      </c>
      <c r="C6" s="4" t="s">
        <v>231</v>
      </c>
      <c r="D6" s="12" t="s">
        <v>55</v>
      </c>
      <c r="E6" s="4" t="s">
        <v>236</v>
      </c>
    </row>
    <row r="7" customFormat="false" ht="15" hidden="false" customHeight="false" outlineLevel="0" collapsed="false">
      <c r="A7" s="13" t="n">
        <v>4</v>
      </c>
      <c r="B7" s="6" t="s">
        <v>237</v>
      </c>
      <c r="C7" s="6" t="s">
        <v>231</v>
      </c>
      <c r="D7" s="12" t="s">
        <v>55</v>
      </c>
      <c r="E7" s="6" t="s">
        <v>238</v>
      </c>
    </row>
    <row r="8" customFormat="false" ht="15" hidden="false" customHeight="false" outlineLevel="0" collapsed="false">
      <c r="A8" s="10" t="n">
        <v>5</v>
      </c>
      <c r="B8" s="4" t="s">
        <v>239</v>
      </c>
      <c r="C8" s="4" t="s">
        <v>231</v>
      </c>
      <c r="D8" s="12" t="s">
        <v>55</v>
      </c>
      <c r="E8" s="4" t="s">
        <v>240</v>
      </c>
    </row>
    <row r="9" customFormat="false" ht="15" hidden="false" customHeight="false" outlineLevel="0" collapsed="false">
      <c r="A9" s="13" t="n">
        <v>6</v>
      </c>
      <c r="B9" s="6" t="s">
        <v>241</v>
      </c>
      <c r="C9" s="6" t="s">
        <v>231</v>
      </c>
      <c r="D9" s="12" t="s">
        <v>55</v>
      </c>
      <c r="E9" s="6" t="s">
        <v>110</v>
      </c>
    </row>
    <row r="10" customFormat="false" ht="15" hidden="false" customHeight="false" outlineLevel="0" collapsed="false">
      <c r="A10" s="10" t="n">
        <v>7</v>
      </c>
      <c r="B10" s="4" t="s">
        <v>242</v>
      </c>
      <c r="C10" s="4" t="s">
        <v>231</v>
      </c>
      <c r="D10" s="12" t="s">
        <v>55</v>
      </c>
      <c r="E10" s="4" t="s">
        <v>243</v>
      </c>
    </row>
    <row r="11" customFormat="false" ht="15" hidden="false" customHeight="false" outlineLevel="0" collapsed="false">
      <c r="A11" s="13" t="n">
        <v>8</v>
      </c>
      <c r="B11" s="6" t="s">
        <v>244</v>
      </c>
      <c r="C11" s="6" t="s">
        <v>231</v>
      </c>
      <c r="D11" s="12" t="s">
        <v>55</v>
      </c>
      <c r="E11" s="6" t="s">
        <v>245</v>
      </c>
    </row>
    <row r="12" customFormat="false" ht="15" hidden="false" customHeight="false" outlineLevel="0" collapsed="false">
      <c r="A12" s="10" t="n">
        <v>9</v>
      </c>
      <c r="B12" s="4" t="s">
        <v>246</v>
      </c>
      <c r="C12" s="4" t="s">
        <v>115</v>
      </c>
      <c r="D12" s="12" t="s">
        <v>55</v>
      </c>
      <c r="E12" s="4" t="s">
        <v>247</v>
      </c>
    </row>
    <row r="13" customFormat="false" ht="15" hidden="false" customHeight="false" outlineLevel="0" collapsed="false">
      <c r="A13" s="13" t="n">
        <v>10</v>
      </c>
      <c r="B13" s="6" t="s">
        <v>248</v>
      </c>
      <c r="C13" s="6" t="s">
        <v>115</v>
      </c>
      <c r="D13" s="47" t="s">
        <v>249</v>
      </c>
      <c r="E13" s="6" t="s">
        <v>250</v>
      </c>
    </row>
    <row r="14" customFormat="false" ht="15" hidden="false" customHeight="false" outlineLevel="0" collapsed="false">
      <c r="A14" s="10" t="n">
        <v>11</v>
      </c>
      <c r="B14" s="4" t="s">
        <v>251</v>
      </c>
      <c r="C14" s="4" t="s">
        <v>115</v>
      </c>
      <c r="D14" s="12" t="s">
        <v>55</v>
      </c>
      <c r="E14" s="4" t="s">
        <v>252</v>
      </c>
    </row>
    <row r="15" customFormat="false" ht="15" hidden="false" customHeight="false" outlineLevel="0" collapsed="false">
      <c r="A15" s="13" t="n">
        <v>12</v>
      </c>
      <c r="B15" s="6" t="s">
        <v>253</v>
      </c>
      <c r="C15" s="6" t="s">
        <v>254</v>
      </c>
      <c r="D15" s="47" t="s">
        <v>249</v>
      </c>
      <c r="E15" s="6" t="s">
        <v>255</v>
      </c>
    </row>
    <row r="16" customFormat="false" ht="15" hidden="false" customHeight="false" outlineLevel="0" collapsed="false">
      <c r="A16" s="10" t="n">
        <v>13</v>
      </c>
      <c r="B16" s="4" t="s">
        <v>256</v>
      </c>
      <c r="C16" s="4" t="s">
        <v>254</v>
      </c>
      <c r="D16" s="47" t="s">
        <v>249</v>
      </c>
      <c r="E16" s="4" t="s">
        <v>257</v>
      </c>
    </row>
    <row r="17" customFormat="false" ht="15" hidden="false" customHeight="false" outlineLevel="0" collapsed="false">
      <c r="A17" s="13" t="n">
        <v>14</v>
      </c>
      <c r="B17" s="6" t="s">
        <v>258</v>
      </c>
      <c r="C17" s="6" t="s">
        <v>254</v>
      </c>
      <c r="D17" s="12" t="s">
        <v>55</v>
      </c>
      <c r="E17" s="6" t="s">
        <v>259</v>
      </c>
    </row>
    <row r="18" customFormat="false" ht="15" hidden="false" customHeight="false" outlineLevel="0" collapsed="false">
      <c r="A18" s="10" t="n">
        <v>15</v>
      </c>
      <c r="B18" s="4" t="s">
        <v>260</v>
      </c>
      <c r="C18" s="4" t="s">
        <v>254</v>
      </c>
      <c r="D18" s="12" t="s">
        <v>55</v>
      </c>
      <c r="E18" s="4" t="s">
        <v>261</v>
      </c>
    </row>
    <row r="20" customFormat="false" ht="15" hidden="false" customHeight="false" outlineLevel="0" collapsed="false">
      <c r="C20" s="19" t="s">
        <v>262</v>
      </c>
      <c r="D20" s="20" t="str">
        <f aca="false">COUNTIF(D4:D18,"Done")&amp;" / 15"</f>
        <v>3 / 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2026-03-14T17:13:40Z</dcterms:created>
  <dc:creator>openpyxl</dc:creator>
  <dc:description/>
  <dc:language>en-US</dc:language>
  <cp:lastModifiedBy/>
  <dcterms:modified xsi:type="dcterms:W3CDTF">2026-03-14T17:13:40Z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